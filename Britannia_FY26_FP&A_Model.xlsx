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0EEA772F-5467-4BDE-BB6E-FCD73E5523E0}" xr6:coauthVersionLast="47" xr6:coauthVersionMax="47" xr10:uidLastSave="{00000000-0000-0000-0000-000000000000}"/>
  <bookViews>
    <workbookView xWindow="240" yWindow="105" windowWidth="14805" windowHeight="8010" activeTab="6" xr2:uid="{00000000-000D-0000-FFFF-FFFF00000000}"/>
  </bookViews>
  <sheets>
    <sheet name="Dashboard" sheetId="6" r:id="rId1"/>
    <sheet name="Historical Data" sheetId="1" r:id="rId2"/>
    <sheet name="Historical Data Calculations" sheetId="7" r:id="rId3"/>
    <sheet name="Trend Analysis" sheetId="8" r:id="rId4"/>
    <sheet name="Driver Thinking" sheetId="2" r:id="rId5"/>
    <sheet name="Assumptions" sheetId="3" r:id="rId6"/>
    <sheet name="Forecast Model" sheetId="5" r:id="rId7"/>
  </sheets>
  <externalReferences>
    <externalReference r:id="rId8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9" i="6" l="1"/>
  <c r="AB17" i="6"/>
  <c r="AB15" i="6"/>
  <c r="I6" i="6"/>
  <c r="C8" i="5"/>
  <c r="C4" i="5"/>
  <c r="C9" i="1"/>
  <c r="D9" i="1"/>
  <c r="B9" i="1"/>
  <c r="C19" i="8"/>
  <c r="D19" i="8"/>
  <c r="D21" i="8" s="1"/>
  <c r="B19" i="8"/>
  <c r="B4" i="8"/>
  <c r="D4" i="8"/>
  <c r="C4" i="8"/>
  <c r="C6" i="8" s="1"/>
  <c r="C2" i="7"/>
  <c r="D2" i="7"/>
  <c r="C4" i="7"/>
  <c r="D4" i="7"/>
  <c r="C5" i="7"/>
  <c r="D5" i="7"/>
  <c r="C6" i="7"/>
  <c r="D6" i="7"/>
  <c r="C10" i="7"/>
  <c r="C11" i="7" s="1"/>
  <c r="D10" i="7"/>
  <c r="D11" i="7" s="1"/>
  <c r="C13" i="7"/>
  <c r="C14" i="7" s="1"/>
  <c r="D13" i="7"/>
  <c r="D14" i="7" s="1"/>
  <c r="C16" i="7"/>
  <c r="C17" i="7" s="1"/>
  <c r="D16" i="7"/>
  <c r="D17" i="7" s="1"/>
  <c r="C22" i="7"/>
  <c r="D22" i="7"/>
  <c r="C23" i="7"/>
  <c r="D23" i="7"/>
  <c r="C24" i="7"/>
  <c r="D24" i="7"/>
  <c r="C25" i="7"/>
  <c r="C26" i="7" s="1"/>
  <c r="D25" i="7"/>
  <c r="D26" i="7" s="1"/>
  <c r="C27" i="7"/>
  <c r="C28" i="7" s="1"/>
  <c r="C23" i="8" s="1"/>
  <c r="D27" i="7"/>
  <c r="D28" i="7" s="1"/>
  <c r="D23" i="8" s="1"/>
  <c r="B27" i="7"/>
  <c r="B23" i="7"/>
  <c r="B24" i="7"/>
  <c r="B25" i="7"/>
  <c r="B26" i="7" s="1"/>
  <c r="B22" i="7"/>
  <c r="B16" i="7"/>
  <c r="B10" i="7"/>
  <c r="B6" i="7"/>
  <c r="B5" i="7"/>
  <c r="B2" i="7"/>
  <c r="B4" i="7"/>
  <c r="B7" i="7" s="1"/>
  <c r="B13" i="7"/>
  <c r="B14" i="7" s="1"/>
  <c r="F12" i="6" l="1"/>
  <c r="C6" i="5"/>
  <c r="C12" i="5"/>
  <c r="C10" i="5"/>
  <c r="C14" i="5"/>
  <c r="B8" i="7"/>
  <c r="D6" i="8"/>
  <c r="C21" i="8"/>
  <c r="B28" i="7"/>
  <c r="B23" i="8" s="1"/>
  <c r="B19" i="7"/>
  <c r="B11" i="7"/>
  <c r="B17" i="7"/>
  <c r="D7" i="7"/>
  <c r="C7" i="7"/>
  <c r="C16" i="5" l="1"/>
  <c r="I12" i="6"/>
  <c r="C8" i="7"/>
  <c r="C19" i="7"/>
  <c r="D8" i="7"/>
  <c r="D19" i="7"/>
  <c r="B20" i="7"/>
  <c r="B14" i="8" s="1"/>
  <c r="B10" i="8"/>
  <c r="L12" i="6" l="1"/>
  <c r="AB21" i="6"/>
  <c r="D10" i="8"/>
  <c r="D20" i="7"/>
  <c r="D14" i="8" s="1"/>
  <c r="C10" i="8"/>
  <c r="C12" i="8" s="1"/>
  <c r="C20" i="7"/>
  <c r="C14" i="8" s="1"/>
  <c r="D12" i="8" l="1"/>
</calcChain>
</file>

<file path=xl/sharedStrings.xml><?xml version="1.0" encoding="utf-8"?>
<sst xmlns="http://schemas.openxmlformats.org/spreadsheetml/2006/main" count="175" uniqueCount="106">
  <si>
    <t>Britannia Industries – FY26 Financial Outlook</t>
  </si>
  <si>
    <t>Scenario:</t>
  </si>
  <si>
    <t>Revenue (FY26)</t>
  </si>
  <si>
    <t>EBITDA (FY26)</t>
  </si>
  <si>
    <t>EBITDA Margin</t>
  </si>
  <si>
    <t>Year</t>
  </si>
  <si>
    <t>FY23</t>
  </si>
  <si>
    <t>FY24</t>
  </si>
  <si>
    <t>FY25</t>
  </si>
  <si>
    <t>FY26</t>
  </si>
  <si>
    <t>Base Case</t>
  </si>
  <si>
    <t>Upside Case</t>
  </si>
  <si>
    <t>Downside Case</t>
  </si>
  <si>
    <t xml:space="preserve">Revenue </t>
  </si>
  <si>
    <t>EBITDA</t>
  </si>
  <si>
    <t>Margin</t>
  </si>
  <si>
    <t>Line Item</t>
  </si>
  <si>
    <t>Revenue from Operations</t>
  </si>
  <si>
    <t>Cost of Materials Consumed</t>
  </si>
  <si>
    <t>Purchase of Stock-in-Trade</t>
  </si>
  <si>
    <t>Change in Inventory</t>
  </si>
  <si>
    <t>Employee Benefits Expense</t>
  </si>
  <si>
    <t>Advertising &amp; Sales Promotion</t>
  </si>
  <si>
    <t>Other Expenses</t>
  </si>
  <si>
    <t>Adjusted Other Expenses</t>
  </si>
  <si>
    <t>Depreciation &amp; Amortisation</t>
  </si>
  <si>
    <t>Finance Cost</t>
  </si>
  <si>
    <t>Exceptional Items</t>
  </si>
  <si>
    <t>Profit Before Tax</t>
  </si>
  <si>
    <t>Profit After Tax</t>
  </si>
  <si>
    <t>Total Raw Material Cost</t>
  </si>
  <si>
    <t>Raw Material %</t>
  </si>
  <si>
    <t>Employee %</t>
  </si>
  <si>
    <t>Advertising %</t>
  </si>
  <si>
    <t>Other Expense %</t>
  </si>
  <si>
    <t>EBITDA Margin %</t>
  </si>
  <si>
    <t>Adjusted Profit Before Tax</t>
  </si>
  <si>
    <t>Net Margin %</t>
  </si>
  <si>
    <t>Britannia Industries – 3-Year Trend Analysis</t>
  </si>
  <si>
    <t>Metric</t>
  </si>
  <si>
    <t>Revenue (₹ Cr)</t>
  </si>
  <si>
    <t>Revenue Growth %</t>
  </si>
  <si>
    <t>EBITDA (₹ Cr)</t>
  </si>
  <si>
    <t>EBITDA Growth %</t>
  </si>
  <si>
    <t>Profit After Tax (₹ Cr)</t>
  </si>
  <si>
    <t>PAT Growth %</t>
  </si>
  <si>
    <t>Britannia Industries – Key Business Drivers</t>
  </si>
  <si>
    <t>Financial Line</t>
  </si>
  <si>
    <t>Key Driver</t>
  </si>
  <si>
    <t>Significance</t>
  </si>
  <si>
    <t>Historical Observation</t>
  </si>
  <si>
    <t>Revenue</t>
  </si>
  <si>
    <t>Volume Growth</t>
  </si>
  <si>
    <t>Drives top-line expansion</t>
  </si>
  <si>
    <t>Growth accelerated in FY25</t>
  </si>
  <si>
    <t>Price Increase</t>
  </si>
  <si>
    <t>Protects margins during inflation</t>
  </si>
  <si>
    <t>FY25 likely price-led growth</t>
  </si>
  <si>
    <t>Raw Material Cost</t>
  </si>
  <si>
    <t>Commodity Prices</t>
  </si>
  <si>
    <t>60% of revenue, biggest cost</t>
  </si>
  <si>
    <t>% increased in FY25</t>
  </si>
  <si>
    <t>Inventory Movement</t>
  </si>
  <si>
    <t>Short-term cost impact</t>
  </si>
  <si>
    <t>Volatile across years</t>
  </si>
  <si>
    <t>Employee Cost</t>
  </si>
  <si>
    <t>Salary Inflation</t>
  </si>
  <si>
    <t>Semi-fixed cost</t>
  </si>
  <si>
    <t>Stable % of revenue</t>
  </si>
  <si>
    <t>Advertising</t>
  </si>
  <si>
    <t>Brand Investment</t>
  </si>
  <si>
    <t>Drives demand</t>
  </si>
  <si>
    <t>~3% stable trend</t>
  </si>
  <si>
    <t>Operating Leverage</t>
  </si>
  <si>
    <t>Revenue spreads fixed cost</t>
  </si>
  <si>
    <t>Improved in FY24</t>
  </si>
  <si>
    <t>Net Profit</t>
  </si>
  <si>
    <t>Distorts comparability</t>
  </si>
  <si>
    <t>FY23 had large gain</t>
  </si>
  <si>
    <t>Britannia Industries – FY26 Planning Assumptions</t>
  </si>
  <si>
    <t>Assumption</t>
  </si>
  <si>
    <t>Upside</t>
  </si>
  <si>
    <t>Downside</t>
  </si>
  <si>
    <t>Rationale</t>
  </si>
  <si>
    <t>Growth normalization after FY25</t>
  </si>
  <si>
    <t>Raw Material % of Revenue</t>
  </si>
  <si>
    <t>Commodity volatility</t>
  </si>
  <si>
    <t>Advertising % of Revenue</t>
  </si>
  <si>
    <t>Margin vs growth trade-off</t>
  </si>
  <si>
    <t>Employee Growth %</t>
  </si>
  <si>
    <t>Salary inflation</t>
  </si>
  <si>
    <t>Other Expense % of Revenue</t>
  </si>
  <si>
    <t>Efficiency vs cost pressure</t>
  </si>
  <si>
    <t>Depreciation Growth %</t>
  </si>
  <si>
    <t>Capex impact</t>
  </si>
  <si>
    <t>Finance Cost Growth %</t>
  </si>
  <si>
    <t>Interest environment</t>
  </si>
  <si>
    <t>Other Expense % of Revenue(exclude advertising)</t>
  </si>
  <si>
    <t>Base</t>
  </si>
  <si>
    <t>Revenue Growth</t>
  </si>
  <si>
    <t>Employee Growth</t>
  </si>
  <si>
    <t>Britannia Industries – FY26  Forecast</t>
  </si>
  <si>
    <t xml:space="preserve">Select Scenario: </t>
  </si>
  <si>
    <t>Raw Material</t>
  </si>
  <si>
    <t>Employee</t>
  </si>
  <si>
    <t>Other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</si>
</sst>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6" formatCode="0.0"/>
  </numFmts>
  <fonts count="18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231F20"/>
      <name val="Calibri"/>
    </font>
    <font>
      <b/>
      <sz val="12"/>
      <color theme="1"/>
      <name val="Calibri"/>
      <family val="2"/>
      <scheme val="minor"/>
    </font>
    <font>
      <sz val="11"/>
      <color rgb="FF242424"/>
      <name val="Consolas"/>
      <charset val="1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2"/>
      <color theme="1" tint="4.9989318521683403E-2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2" fontId="0" fillId="0" borderId="0" xfId="0" applyNumberFormat="1"/>
    <xf numFmtId="2" fontId="2" fillId="0" borderId="1" xfId="0" applyNumberFormat="1" applyFont="1" applyBorder="1"/>
    <xf numFmtId="164" fontId="0" fillId="0" borderId="0" xfId="0" applyNumberFormat="1"/>
    <xf numFmtId="0" fontId="0" fillId="0" borderId="0" xfId="0" applyAlignment="1">
      <alignment wrapText="1"/>
    </xf>
    <xf numFmtId="2" fontId="4" fillId="0" borderId="0" xfId="0" quotePrefix="1" applyNumberFormat="1" applyFont="1"/>
    <xf numFmtId="0" fontId="5" fillId="0" borderId="0" xfId="0" applyFont="1"/>
    <xf numFmtId="0" fontId="6" fillId="0" borderId="0" xfId="0" applyFont="1" applyAlignment="1"/>
    <xf numFmtId="0" fontId="7" fillId="0" borderId="0" xfId="0" applyFont="1"/>
    <xf numFmtId="0" fontId="8" fillId="0" borderId="1" xfId="0" applyFont="1" applyBorder="1"/>
    <xf numFmtId="164" fontId="9" fillId="0" borderId="0" xfId="0" applyNumberFormat="1" applyFont="1"/>
    <xf numFmtId="0" fontId="10" fillId="0" borderId="0" xfId="0" applyFont="1" applyAlignment="1"/>
    <xf numFmtId="0" fontId="3" fillId="0" borderId="0" xfId="0" applyFont="1"/>
    <xf numFmtId="0" fontId="0" fillId="0" borderId="0" xfId="0" applyAlignment="1">
      <alignment horizontal="center"/>
    </xf>
    <xf numFmtId="0" fontId="12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16" fillId="2" borderId="3" xfId="0" applyFont="1" applyFill="1" applyBorder="1" applyAlignment="1">
      <alignment horizontal="center"/>
    </xf>
    <xf numFmtId="0" fontId="16" fillId="2" borderId="4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64" fontId="13" fillId="0" borderId="6" xfId="0" applyNumberFormat="1" applyFont="1" applyBorder="1" applyAlignment="1">
      <alignment horizontal="center" vertical="center"/>
    </xf>
    <xf numFmtId="164" fontId="13" fillId="0" borderId="7" xfId="0" applyNumberFormat="1" applyFont="1" applyBorder="1" applyAlignment="1">
      <alignment horizontal="center" vertical="center"/>
    </xf>
    <xf numFmtId="164" fontId="13" fillId="0" borderId="8" xfId="0" applyNumberFormat="1" applyFont="1" applyBorder="1" applyAlignment="1">
      <alignment horizontal="center" vertical="center"/>
    </xf>
    <xf numFmtId="164" fontId="13" fillId="0" borderId="9" xfId="0" applyNumberFormat="1" applyFont="1" applyBorder="1" applyAlignment="1">
      <alignment horizontal="center" vertical="center"/>
    </xf>
    <xf numFmtId="1" fontId="13" fillId="0" borderId="6" xfId="0" applyNumberFormat="1" applyFont="1" applyBorder="1" applyAlignment="1">
      <alignment horizontal="center" vertical="center"/>
    </xf>
    <xf numFmtId="1" fontId="13" fillId="0" borderId="7" xfId="0" applyNumberFormat="1" applyFont="1" applyBorder="1" applyAlignment="1">
      <alignment horizontal="center" vertical="center"/>
    </xf>
    <xf numFmtId="1" fontId="13" fillId="0" borderId="8" xfId="0" applyNumberFormat="1" applyFont="1" applyBorder="1" applyAlignment="1">
      <alignment horizontal="center" vertical="center"/>
    </xf>
    <xf numFmtId="1" fontId="13" fillId="0" borderId="9" xfId="0" applyNumberFormat="1" applyFont="1" applyBorder="1" applyAlignment="1">
      <alignment horizontal="center" vertical="center"/>
    </xf>
    <xf numFmtId="166" fontId="0" fillId="0" borderId="0" xfId="0" applyNumberFormat="1" applyAlignment="1">
      <alignment wrapText="1"/>
    </xf>
    <xf numFmtId="0" fontId="15" fillId="0" borderId="0" xfId="0" applyFont="1" applyBorder="1" applyAlignment="1">
      <alignment horizontal="center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6" fillId="0" borderId="6" xfId="0" applyFont="1" applyBorder="1" applyAlignment="1">
      <alignment wrapText="1"/>
    </xf>
    <xf numFmtId="0" fontId="16" fillId="0" borderId="2" xfId="0" applyFont="1" applyBorder="1" applyAlignment="1">
      <alignment wrapText="1"/>
    </xf>
    <xf numFmtId="1" fontId="17" fillId="0" borderId="12" xfId="0" applyNumberFormat="1" applyFont="1" applyBorder="1" applyAlignment="1">
      <alignment wrapText="1"/>
    </xf>
    <xf numFmtId="164" fontId="17" fillId="0" borderId="2" xfId="0" applyNumberFormat="1" applyFont="1" applyBorder="1" applyAlignment="1">
      <alignment wrapText="1"/>
    </xf>
    <xf numFmtId="0" fontId="16" fillId="0" borderId="3" xfId="0" applyFont="1" applyBorder="1" applyAlignment="1">
      <alignment wrapText="1"/>
    </xf>
    <xf numFmtId="0" fontId="6" fillId="0" borderId="0" xfId="0" applyFont="1" applyAlignment="1">
      <alignment horizontal="center"/>
    </xf>
    <xf numFmtId="0" fontId="11" fillId="0" borderId="2" xfId="0" applyFont="1" applyBorder="1" applyAlignment="1">
      <alignment horizontal="center"/>
    </xf>
  </cellXfs>
  <cellStyles count="1">
    <cellStyle name="Normal" xfId="0" builtinId="0"/>
  </cellStyles>
  <dxfs count="21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i/>
      </font>
    </dxf>
    <dxf>
      <numFmt numFmtId="2" formatCode="0.00"/>
    </dxf>
    <dxf>
      <font>
        <b val="0"/>
        <i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sng" strike="noStrike" kern="1200" spc="0" baseline="0">
                <a:solidFill>
                  <a:srgbClr val="305496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EBITDA Margin Trend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spc="0" baseline="0">
              <a:solidFill>
                <a:srgbClr val="305496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Dashboard!$AB$14</c:f>
              <c:strCache>
                <c:ptCount val="1"/>
                <c:pt idx="0">
                  <c:v>EBITDA Margin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Dashboard!$AA$15:$AA$21</c:f>
              <c:strCache>
                <c:ptCount val="7"/>
                <c:pt idx="0">
                  <c:v>FY23</c:v>
                </c:pt>
                <c:pt idx="2">
                  <c:v>FY24</c:v>
                </c:pt>
                <c:pt idx="4">
                  <c:v>FY25</c:v>
                </c:pt>
                <c:pt idx="6">
                  <c:v>FY26</c:v>
                </c:pt>
              </c:strCache>
            </c:strRef>
          </c:cat>
          <c:val>
            <c:numRef>
              <c:f>Dashboard!$AB$15:$AB$21</c:f>
              <c:numCache>
                <c:formatCode>General</c:formatCode>
                <c:ptCount val="7"/>
                <c:pt idx="0" formatCode="0.0%">
                  <c:v>0.1736696001055178</c:v>
                </c:pt>
                <c:pt idx="2" formatCode="0.0%">
                  <c:v>0.20267429649591184</c:v>
                </c:pt>
                <c:pt idx="4" formatCode="0.0%">
                  <c:v>0.17762963929002748</c:v>
                </c:pt>
                <c:pt idx="6" formatCode="0.0%">
                  <c:v>0.17264853854958989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C9A0-4A04-ABAC-F35EE98D5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1462663"/>
        <c:axId val="1967204359"/>
      </c:lineChart>
      <c:catAx>
        <c:axId val="1331462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204359"/>
        <c:crosses val="autoZero"/>
        <c:auto val="1"/>
        <c:lblAlgn val="ctr"/>
        <c:lblOffset val="100"/>
        <c:noMultiLvlLbl val="0"/>
      </c:catAx>
      <c:valAx>
        <c:axId val="1967204359"/>
        <c:scaling>
          <c:orientation val="minMax"/>
          <c:min val="0.14000000000000001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462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rgbClr val="FFFF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15</xdr:row>
      <xdr:rowOff>19050</xdr:rowOff>
    </xdr:from>
    <xdr:to>
      <xdr:col>12</xdr:col>
      <xdr:colOff>561975</xdr:colOff>
      <xdr:row>27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BDC0BD-9F14-6C19-FEF1-912B69427D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29</xdr:row>
      <xdr:rowOff>0</xdr:rowOff>
    </xdr:from>
    <xdr:to>
      <xdr:col>12</xdr:col>
      <xdr:colOff>581025</xdr:colOff>
      <xdr:row>31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6CE6E80-92BA-18C3-4E62-269C92A77442}"/>
            </a:ext>
            <a:ext uri="{147F2762-F138-4A5C-976F-8EAC2B608ADB}">
              <a16:predDERef xmlns:a16="http://schemas.microsoft.com/office/drawing/2014/main" pred="{BDBDC0BD-9F14-6C19-FEF1-912B69427DC4}"/>
            </a:ext>
          </a:extLst>
        </xdr:cNvPr>
        <xdr:cNvSpPr txBox="1"/>
      </xdr:nvSpPr>
      <xdr:spPr>
        <a:xfrm>
          <a:off x="2847975" y="5934075"/>
          <a:ext cx="6429375" cy="5524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400" i="1">
              <a:solidFill>
                <a:schemeClr val="dk1"/>
              </a:solidFill>
              <a:latin typeface="+mn-lt"/>
              <a:ea typeface="+mn-lt"/>
              <a:cs typeface="+mn-lt"/>
            </a:rPr>
            <a:t>EBITDA margin is highly sensitive to raw material costs. A 1% change in raw material ratio impacts EBITDA by ~</a:t>
          </a:r>
          <a:r>
            <a:rPr lang="en-US" sz="1400" b="0" i="1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400" i="1">
              <a:solidFill>
                <a:schemeClr val="dk1"/>
              </a:solidFill>
              <a:latin typeface="+mn-lt"/>
              <a:ea typeface="+mn-lt"/>
              <a:cs typeface="+mn-lt"/>
            </a:rPr>
            <a:t>₹190 Cr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</sheetNames>
    <definedNames>
      <definedName name="A"/>
    </defined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79C5993-052A-4591-9D7E-FBCD204C6D02}" name="Table5" displayName="Table5" ref="AA14:AB21" totalsRowShown="0">
  <autoFilter ref="AA14:AB21" xr:uid="{D79C5993-052A-4591-9D7E-FBCD204C6D02}"/>
  <tableColumns count="2">
    <tableColumn id="1" xr3:uid="{40BD03DB-189D-4AD0-AEFB-70B5BBF84DCD}" name="Year"/>
    <tableColumn id="2" xr3:uid="{7BE7CC60-FBB5-4384-BD45-50582B271B2B}" name="EBITDA Margin" dataDxfId="20">
      <calculatedColumnFormula>'Historical Data Calculations'!B20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91F658-3E4F-4F0B-B6EA-7E3E2B893BB6}" name="Table1" displayName="Table1" ref="A1:D14" totalsRowShown="0">
  <autoFilter ref="A1:D14" xr:uid="{D591F658-3E4F-4F0B-B6EA-7E3E2B893BB6}"/>
  <tableColumns count="4">
    <tableColumn id="1" xr3:uid="{C5934DB4-3203-4C5F-A783-91E7947B0EF8}" name="Line Item" dataDxfId="19"/>
    <tableColumn id="2" xr3:uid="{4CD0B5B1-AA6B-4684-85E0-37EAD906BBDC}" name="FY23"/>
    <tableColumn id="3" xr3:uid="{EC57FB76-F06C-46FB-A184-A755976F3735}" name="FY24"/>
    <tableColumn id="4" xr3:uid="{0678507E-A75D-48DB-AAE2-0C46D0E6CBB2}" name="FY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83CD6AA-17BF-430D-A095-69803E3157CF}" name="Table6" displayName="Table6" ref="A1:D29" totalsRowShown="0">
  <autoFilter ref="A1:D29" xr:uid="{D83CD6AA-17BF-430D-A095-69803E3157CF}"/>
  <tableColumns count="4">
    <tableColumn id="1" xr3:uid="{B32A761E-55DD-47A7-ABBE-255D6644BAD5}" name="Line Item"/>
    <tableColumn id="2" xr3:uid="{C9B7AE1A-9DA5-40B4-8C10-B3A96EFBC387}" name="FY23" dataDxfId="18">
      <calculatedColumnFormula>'Historical Data'!B2</calculatedColumnFormula>
    </tableColumn>
    <tableColumn id="3" xr3:uid="{579E2397-8CFD-4623-82A1-AE67657A02AC}" name="FY24"/>
    <tableColumn id="4" xr3:uid="{35F9DDD2-73B1-4F7F-8F74-CF5922D0A607}" name="FY2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F4D448-74AC-4743-AC20-2D4432C25968}" name="Table2" displayName="Table2" ref="A3:D6" totalsRowShown="0">
  <autoFilter ref="A3:D6" xr:uid="{59F4D448-74AC-4743-AC20-2D4432C25968}"/>
  <tableColumns count="4">
    <tableColumn id="1" xr3:uid="{44591522-57C6-434E-8120-38F66A1F3DA3}" name="Metric" dataDxfId="17"/>
    <tableColumn id="2" xr3:uid="{FCCBECA3-AA86-4FEA-A7F9-6AEED2DF21B5}" name="FY23" dataDxfId="16">
      <calculatedColumnFormula>'Historical Data'!B2</calculatedColumnFormula>
    </tableColumn>
    <tableColumn id="3" xr3:uid="{FDFF7CE8-EED5-4FCB-9FC4-3B765A503D44}" name="FY24" dataDxfId="15">
      <calculatedColumnFormula>'Historical Data'!C2</calculatedColumnFormula>
    </tableColumn>
    <tableColumn id="4" xr3:uid="{0082082A-2197-442D-BCDF-CCA11472BB4C}" name="FY2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CEE9D1-EB68-45B5-8461-8281E1A4C07B}" name="Table3" displayName="Table3" ref="A9:D14" totalsRowShown="0">
  <autoFilter ref="A9:D14" xr:uid="{E9CEE9D1-EB68-45B5-8461-8281E1A4C07B}"/>
  <tableColumns count="4">
    <tableColumn id="1" xr3:uid="{B91EB978-695D-4076-92E8-86B54528580C}" name="Metric"/>
    <tableColumn id="2" xr3:uid="{6B3B2C2F-D914-4443-9CCF-FD04A4A60AC4}" name="FY23" dataDxfId="14">
      <calculatedColumnFormula>'Historical Data Calculations'!B19</calculatedColumnFormula>
    </tableColumn>
    <tableColumn id="3" xr3:uid="{D274F84F-62B4-452E-BDD8-0934267759DB}" name="FY24"/>
    <tableColumn id="4" xr3:uid="{70709168-643B-473C-8C2D-B209A8BE8DD1}" name="FY2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D4A97F-AC4A-49B9-A36D-D4DC53BD1981}" name="Table4" displayName="Table4" ref="A18:D23" totalsRowShown="0">
  <autoFilter ref="A18:D23" xr:uid="{F0D4A97F-AC4A-49B9-A36D-D4DC53BD1981}"/>
  <tableColumns count="4">
    <tableColumn id="1" xr3:uid="{DA89F255-C5A2-44C3-B7D0-2944656FA8CB}" name="Metric"/>
    <tableColumn id="2" xr3:uid="{00900604-5135-405C-B83A-D37CADB1AC06}" name="FY23" dataDxfId="13">
      <calculatedColumnFormula>'Historical Data'!B14</calculatedColumnFormula>
    </tableColumn>
    <tableColumn id="3" xr3:uid="{AF810E94-96C5-4CB1-BF7C-309E2334ACB2}" name="FY24"/>
    <tableColumn id="4" xr3:uid="{4DE8BCCC-551C-4BD1-9647-C80F36F64706}" name="FY2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615015F-0C66-49FA-89AF-9A7CCB17EE24}" name="Table7" displayName="Table7" ref="A4:D20" insertRowShift="1" totalsRowShown="0" headerRowDxfId="12" dataDxfId="11">
  <autoFilter ref="A4:D20" xr:uid="{5615015F-0C66-49FA-89AF-9A7CCB17EE24}"/>
  <tableColumns count="4">
    <tableColumn id="1" xr3:uid="{148B1993-3A16-4916-BF7A-1EA4D3E9DA74}" name="Financial Line" dataDxfId="10"/>
    <tableColumn id="2" xr3:uid="{2AB68267-70E4-40CD-84D5-7AB03A0AAB4E}" name="Key Driver" dataDxfId="9"/>
    <tableColumn id="3" xr3:uid="{6EFBE0E7-99B4-45FE-B8E9-895E157B82FD}" name="Significance" dataDxfId="8"/>
    <tableColumn id="4" xr3:uid="{7DF1F381-3897-40D7-9915-DE1826A64554}" name="Historical Observation" dataDxf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6BF2BDE-D726-435C-B04D-C7BF2F14A594}" name="Table10" displayName="Table10" ref="A22:D28" insertRowShift="1" totalsRowShown="0" headerRowDxfId="6" dataDxfId="5">
  <autoFilter ref="A22:D28" xr:uid="{46BF2BDE-D726-435C-B04D-C7BF2F14A594}"/>
  <tableColumns count="4">
    <tableColumn id="1" xr3:uid="{45DDBE62-E328-4713-9630-ABCEA4873A21}" name="Assumption" dataDxfId="4"/>
    <tableColumn id="2" xr3:uid="{601D46C0-8B2B-4E05-A660-D8D742CF5154}" name="Base" dataDxfId="3"/>
    <tableColumn id="3" xr3:uid="{4D3C32A5-325C-472B-B9D7-5DD2912C8B44}" name="Upside" dataDxfId="2"/>
    <tableColumn id="4" xr3:uid="{390294FD-2E96-40E7-891E-B38C5B9D1F91}" name="Downside" dataDxfId="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46A7EE4-7969-4022-B0C4-E6ED47E99265}" name="Table9" displayName="Table9" ref="B3:C16" totalsRowShown="0">
  <autoFilter ref="B3:C16" xr:uid="{046A7EE4-7969-4022-B0C4-E6ED47E99265}"/>
  <tableColumns count="2">
    <tableColumn id="1" xr3:uid="{941CBE8F-FAEE-47FB-8BC1-8603201C2085}" name="Metric"/>
    <tableColumn id="2" xr3:uid="{C5A235BB-1F82-4D9E-BE0F-4B19D2D6DDCD}" name="FY26" dataDxfId="0">
      <calculatedColumnFormula>'Historical Data Calculations'!D2*(1+Assumptions!B4)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90B0C-2837-4CDC-8C28-478A720A5DA6}">
  <dimension ref="F1:AB41"/>
  <sheetViews>
    <sheetView workbookViewId="0">
      <selection activeCell="D37" sqref="D37"/>
    </sheetView>
  </sheetViews>
  <sheetFormatPr defaultRowHeight="15"/>
  <cols>
    <col min="1" max="1" width="6.28515625" customWidth="1"/>
    <col min="5" max="5" width="9" customWidth="1"/>
    <col min="6" max="6" width="14.140625" customWidth="1"/>
    <col min="8" max="8" width="12.5703125" customWidth="1"/>
    <col min="9" max="9" width="16.5703125" bestFit="1" customWidth="1"/>
    <col min="10" max="10" width="9.28515625" customWidth="1"/>
    <col min="11" max="11" width="12.140625" customWidth="1"/>
    <col min="12" max="12" width="13.85546875" bestFit="1" customWidth="1"/>
  </cols>
  <sheetData>
    <row r="1" spans="6:28">
      <c r="F1" s="14"/>
      <c r="G1" s="14"/>
      <c r="H1" s="14"/>
      <c r="I1" s="14"/>
      <c r="J1" s="14"/>
      <c r="K1" s="14"/>
      <c r="L1" s="14"/>
      <c r="M1" s="14"/>
    </row>
    <row r="2" spans="6:28" ht="41.25" customHeight="1">
      <c r="F2" s="14"/>
      <c r="G2" s="14"/>
      <c r="H2" s="15" t="s">
        <v>0</v>
      </c>
      <c r="I2" s="15"/>
      <c r="J2" s="15"/>
      <c r="K2" s="15"/>
      <c r="L2" s="15"/>
      <c r="M2" s="14"/>
    </row>
    <row r="3" spans="6:28">
      <c r="F3" s="14"/>
      <c r="G3" s="14"/>
      <c r="H3" s="15"/>
      <c r="I3" s="15"/>
      <c r="J3" s="15"/>
      <c r="K3" s="15"/>
      <c r="L3" s="15"/>
      <c r="M3" s="14"/>
    </row>
    <row r="4" spans="6:28">
      <c r="F4" s="14"/>
      <c r="G4" s="14"/>
      <c r="H4" s="14"/>
      <c r="I4" s="14"/>
      <c r="J4" s="14"/>
      <c r="K4" s="14"/>
      <c r="L4" s="14"/>
      <c r="M4" s="14"/>
    </row>
    <row r="5" spans="6:28">
      <c r="F5" s="14"/>
      <c r="G5" s="14"/>
      <c r="H5" s="14"/>
      <c r="I5" s="14"/>
      <c r="J5" s="14"/>
      <c r="K5" s="14"/>
      <c r="L5" s="14"/>
      <c r="M5" s="14"/>
    </row>
    <row r="6" spans="6:28" ht="21">
      <c r="F6" s="14"/>
      <c r="G6" s="14"/>
      <c r="H6" s="33" t="s">
        <v>1</v>
      </c>
      <c r="I6" s="17" t="str">
        <f>'Forecast Model'!G2</f>
        <v>Base</v>
      </c>
      <c r="J6" s="18"/>
      <c r="K6" s="19"/>
      <c r="L6" s="14"/>
      <c r="M6" s="14"/>
    </row>
    <row r="7" spans="6:28">
      <c r="F7" s="14"/>
      <c r="G7" s="14"/>
      <c r="H7" s="14"/>
      <c r="I7" s="14"/>
      <c r="J7" s="14"/>
      <c r="K7" s="14"/>
      <c r="L7" s="14"/>
      <c r="M7" s="14"/>
    </row>
    <row r="8" spans="6:28">
      <c r="F8" s="14"/>
      <c r="G8" s="14"/>
      <c r="H8" s="14"/>
      <c r="I8" s="14"/>
      <c r="J8" s="14"/>
      <c r="K8" s="14"/>
      <c r="L8" s="14"/>
      <c r="M8" s="14"/>
    </row>
    <row r="9" spans="6:28">
      <c r="F9" s="14"/>
      <c r="G9" s="16"/>
      <c r="H9" s="16"/>
      <c r="I9" s="14"/>
      <c r="J9" s="14"/>
      <c r="K9" s="14"/>
      <c r="L9" s="14"/>
      <c r="M9" s="14"/>
    </row>
    <row r="10" spans="6:28" ht="15" customHeight="1">
      <c r="F10" s="20" t="s">
        <v>2</v>
      </c>
      <c r="G10" s="21"/>
      <c r="H10" s="14"/>
      <c r="I10" s="20" t="s">
        <v>3</v>
      </c>
      <c r="J10" s="21"/>
      <c r="K10" s="14"/>
      <c r="L10" s="20" t="s">
        <v>4</v>
      </c>
      <c r="M10" s="21"/>
    </row>
    <row r="11" spans="6:28" ht="15" customHeight="1">
      <c r="F11" s="22"/>
      <c r="G11" s="23"/>
      <c r="H11" s="14"/>
      <c r="I11" s="22"/>
      <c r="J11" s="23"/>
      <c r="K11" s="14"/>
      <c r="L11" s="22"/>
      <c r="M11" s="23"/>
    </row>
    <row r="12" spans="6:28" ht="15" customHeight="1">
      <c r="F12" s="28">
        <f>'Forecast Model'!C4</f>
        <v>19198.656899999998</v>
      </c>
      <c r="G12" s="29"/>
      <c r="H12" s="14"/>
      <c r="I12" s="28">
        <f>'Forecast Model'!C14</f>
        <v>3314.6200558999999</v>
      </c>
      <c r="J12" s="29"/>
      <c r="K12" s="14"/>
      <c r="L12" s="24">
        <f>'Forecast Model'!C16</f>
        <v>0.17264853854958989</v>
      </c>
      <c r="M12" s="25"/>
    </row>
    <row r="13" spans="6:28" ht="15" customHeight="1">
      <c r="F13" s="30"/>
      <c r="G13" s="31"/>
      <c r="H13" s="14"/>
      <c r="I13" s="30"/>
      <c r="J13" s="31"/>
      <c r="K13" s="14"/>
      <c r="L13" s="26"/>
      <c r="M13" s="27"/>
    </row>
    <row r="14" spans="6:28">
      <c r="AA14" t="s">
        <v>5</v>
      </c>
      <c r="AB14" t="s">
        <v>4</v>
      </c>
    </row>
    <row r="15" spans="6:28">
      <c r="AA15" t="s">
        <v>6</v>
      </c>
      <c r="AB15" s="4">
        <f>'Historical Data Calculations'!B20</f>
        <v>0.1736696001055178</v>
      </c>
    </row>
    <row r="17" spans="27:28" ht="15" customHeight="1">
      <c r="AA17" t="s">
        <v>7</v>
      </c>
      <c r="AB17" s="4">
        <f>Table6[[#This Row],[FY24]]</f>
        <v>0.20267429649591184</v>
      </c>
    </row>
    <row r="18" spans="27:28" ht="15" customHeight="1"/>
    <row r="19" spans="27:28">
      <c r="AA19" t="s">
        <v>8</v>
      </c>
      <c r="AB19" s="4">
        <f>'Historical Data Calculations'!D20</f>
        <v>0.17762963929002748</v>
      </c>
    </row>
    <row r="21" spans="27:28">
      <c r="AA21" t="s">
        <v>9</v>
      </c>
      <c r="AB21" s="4">
        <f>'Forecast Model'!C16</f>
        <v>0.17264853854958989</v>
      </c>
    </row>
    <row r="36" spans="6:13" ht="15" customHeight="1">
      <c r="F36" s="34" t="s">
        <v>10</v>
      </c>
      <c r="G36" s="35"/>
      <c r="I36" s="34" t="s">
        <v>11</v>
      </c>
      <c r="J36" s="35"/>
      <c r="L36" s="34" t="s">
        <v>12</v>
      </c>
      <c r="M36" s="35"/>
    </row>
    <row r="37" spans="6:13" ht="15" customHeight="1">
      <c r="F37" s="36"/>
      <c r="G37" s="37"/>
      <c r="I37" s="36"/>
      <c r="J37" s="37"/>
      <c r="L37" s="36"/>
      <c r="M37" s="37"/>
    </row>
    <row r="38" spans="6:13" ht="21">
      <c r="F38" s="38" t="s">
        <v>13</v>
      </c>
      <c r="G38" s="40">
        <v>19198.7</v>
      </c>
      <c r="I38" s="38" t="s">
        <v>13</v>
      </c>
      <c r="J38" s="40">
        <v>19557.5</v>
      </c>
      <c r="L38" s="38" t="s">
        <v>13</v>
      </c>
      <c r="M38" s="40">
        <v>18750.099999999999</v>
      </c>
    </row>
    <row r="39" spans="6:13" ht="21">
      <c r="F39" s="38" t="s">
        <v>14</v>
      </c>
      <c r="G39" s="40">
        <v>3314.6</v>
      </c>
      <c r="I39" s="38" t="s">
        <v>14</v>
      </c>
      <c r="J39" s="40">
        <v>3804.6</v>
      </c>
      <c r="L39" s="38" t="s">
        <v>14</v>
      </c>
      <c r="M39" s="40">
        <v>2725.4</v>
      </c>
    </row>
    <row r="40" spans="6:13" ht="21">
      <c r="F40" s="42" t="s">
        <v>15</v>
      </c>
      <c r="G40" s="41">
        <v>0.17299999999999999</v>
      </c>
      <c r="I40" s="39" t="s">
        <v>15</v>
      </c>
      <c r="J40" s="41">
        <v>0.19500000000000001</v>
      </c>
      <c r="L40" s="39" t="s">
        <v>15</v>
      </c>
      <c r="M40" s="41">
        <v>0.14499999999999999</v>
      </c>
    </row>
    <row r="41" spans="6:13">
      <c r="F41" s="5"/>
      <c r="G41" s="5"/>
    </row>
  </sheetData>
  <mergeCells count="11">
    <mergeCell ref="F36:G37"/>
    <mergeCell ref="I36:J37"/>
    <mergeCell ref="L36:M37"/>
    <mergeCell ref="H2:L3"/>
    <mergeCell ref="F10:G11"/>
    <mergeCell ref="F12:G13"/>
    <mergeCell ref="I6:K6"/>
    <mergeCell ref="I10:J11"/>
    <mergeCell ref="L10:M11"/>
    <mergeCell ref="I12:J13"/>
    <mergeCell ref="L12:M13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selection activeCell="D9" sqref="D9"/>
    </sheetView>
  </sheetViews>
  <sheetFormatPr defaultRowHeight="15"/>
  <cols>
    <col min="1" max="1" width="27.28515625" bestFit="1" customWidth="1"/>
    <col min="2" max="2" width="11" customWidth="1"/>
    <col min="3" max="3" width="13.85546875" customWidth="1"/>
    <col min="4" max="4" width="13.42578125" customWidth="1"/>
  </cols>
  <sheetData>
    <row r="1" spans="1:6">
      <c r="A1" t="s">
        <v>16</v>
      </c>
      <c r="B1" t="s">
        <v>6</v>
      </c>
      <c r="C1" t="s">
        <v>7</v>
      </c>
      <c r="D1" t="s">
        <v>8</v>
      </c>
    </row>
    <row r="2" spans="1:6" ht="15.75">
      <c r="A2" s="10" t="s">
        <v>17</v>
      </c>
      <c r="B2" s="3">
        <v>16300.55</v>
      </c>
      <c r="C2" s="3">
        <v>16769.27</v>
      </c>
      <c r="D2" s="3">
        <v>17942.669999999998</v>
      </c>
    </row>
    <row r="3" spans="1:6" ht="15.75">
      <c r="A3" s="10" t="s">
        <v>18</v>
      </c>
      <c r="B3" s="3">
        <v>8326.7000000000007</v>
      </c>
      <c r="C3" s="3">
        <v>8546.89</v>
      </c>
      <c r="D3" s="3">
        <v>9859.4500000000007</v>
      </c>
    </row>
    <row r="4" spans="1:6" ht="15.75">
      <c r="A4" s="10" t="s">
        <v>19</v>
      </c>
      <c r="B4" s="3">
        <v>1337.13</v>
      </c>
      <c r="C4" s="3">
        <v>941.48</v>
      </c>
      <c r="D4" s="3">
        <v>809.35</v>
      </c>
    </row>
    <row r="5" spans="1:6" ht="15.75">
      <c r="A5" s="10" t="s">
        <v>20</v>
      </c>
      <c r="B5" s="3">
        <v>-72.53</v>
      </c>
      <c r="C5" s="3">
        <v>3.66</v>
      </c>
      <c r="D5" s="3">
        <v>-64.75</v>
      </c>
      <c r="F5" s="1"/>
    </row>
    <row r="6" spans="1:6" ht="15.75">
      <c r="A6" s="10" t="s">
        <v>21</v>
      </c>
      <c r="B6" s="3">
        <v>658.38</v>
      </c>
      <c r="C6" s="3">
        <v>708.7</v>
      </c>
      <c r="D6" s="3">
        <v>704.59</v>
      </c>
    </row>
    <row r="7" spans="1:6" ht="15.75">
      <c r="A7" s="10" t="s">
        <v>22</v>
      </c>
      <c r="B7" s="3">
        <v>675.05</v>
      </c>
      <c r="C7" s="3">
        <v>694.5</v>
      </c>
      <c r="D7" s="3">
        <v>560.1</v>
      </c>
    </row>
    <row r="8" spans="1:6" ht="15.75">
      <c r="A8" s="10" t="s">
        <v>23</v>
      </c>
      <c r="B8" s="3">
        <v>3219.96</v>
      </c>
      <c r="C8" s="3">
        <v>3398.7</v>
      </c>
      <c r="D8" s="3">
        <v>3446.88</v>
      </c>
    </row>
    <row r="9" spans="1:6" ht="15.75">
      <c r="A9" s="10" t="s">
        <v>24</v>
      </c>
      <c r="B9" s="3">
        <f>B8-B7</f>
        <v>2544.91</v>
      </c>
      <c r="C9" s="3">
        <f t="shared" ref="C9:D9" si="0">C8-C7</f>
        <v>2704.2</v>
      </c>
      <c r="D9" s="3">
        <f t="shared" si="0"/>
        <v>2886.78</v>
      </c>
    </row>
    <row r="10" spans="1:6" ht="15.75">
      <c r="A10" s="10" t="s">
        <v>25</v>
      </c>
      <c r="B10" s="3">
        <v>225.91</v>
      </c>
      <c r="C10" s="3">
        <v>300.45999999999998</v>
      </c>
      <c r="D10" s="3">
        <v>313.33999999999997</v>
      </c>
    </row>
    <row r="11" spans="1:6" ht="15.75">
      <c r="A11" s="10" t="s">
        <v>26</v>
      </c>
      <c r="B11" s="3">
        <v>169.1</v>
      </c>
      <c r="C11" s="3">
        <v>164</v>
      </c>
      <c r="D11" s="3">
        <v>138.80000000000001</v>
      </c>
    </row>
    <row r="12" spans="1:6" ht="15.75">
      <c r="A12" s="10" t="s">
        <v>27</v>
      </c>
      <c r="B12" s="3">
        <v>-375.6</v>
      </c>
      <c r="C12" s="3">
        <v>2.9</v>
      </c>
      <c r="D12" s="3">
        <v>24.79</v>
      </c>
    </row>
    <row r="13" spans="1:6" ht="15.75">
      <c r="A13" s="10" t="s">
        <v>28</v>
      </c>
      <c r="B13" s="3">
        <v>3032.77</v>
      </c>
      <c r="C13" s="3">
        <v>2913.47</v>
      </c>
      <c r="D13" s="3">
        <v>2926.57</v>
      </c>
    </row>
    <row r="14" spans="1:6" ht="15.75">
      <c r="A14" s="10" t="s">
        <v>29</v>
      </c>
      <c r="B14" s="3">
        <v>2316.3200000000002</v>
      </c>
      <c r="C14" s="3">
        <v>2134.2199999999998</v>
      </c>
      <c r="D14" s="3">
        <v>2177.86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3B5F0-D5B9-41EC-8A06-CDF59F566F43}">
  <dimension ref="A1:D29"/>
  <sheetViews>
    <sheetView topLeftCell="A11" workbookViewId="0">
      <selection activeCell="F15" sqref="F15"/>
    </sheetView>
  </sheetViews>
  <sheetFormatPr defaultRowHeight="15"/>
  <cols>
    <col min="1" max="1" width="27.28515625" bestFit="1" customWidth="1"/>
  </cols>
  <sheetData>
    <row r="1" spans="1:4">
      <c r="A1" t="s">
        <v>16</v>
      </c>
      <c r="B1" t="s">
        <v>6</v>
      </c>
      <c r="C1" t="s">
        <v>7</v>
      </c>
      <c r="D1" t="s">
        <v>8</v>
      </c>
    </row>
    <row r="2" spans="1:4">
      <c r="A2" s="9" t="s">
        <v>17</v>
      </c>
      <c r="B2" s="2">
        <f>'Historical Data'!B2</f>
        <v>16300.55</v>
      </c>
      <c r="C2" s="2">
        <f>'Historical Data'!C2</f>
        <v>16769.27</v>
      </c>
      <c r="D2" s="2">
        <f>'Historical Data'!D2</f>
        <v>17942.669999999998</v>
      </c>
    </row>
    <row r="3" spans="1:4">
      <c r="A3" s="9"/>
      <c r="B3" s="2"/>
    </row>
    <row r="4" spans="1:4">
      <c r="A4" s="9" t="s">
        <v>18</v>
      </c>
      <c r="B4" s="2">
        <f>'Historical Data'!B3</f>
        <v>8326.7000000000007</v>
      </c>
      <c r="C4" s="2">
        <f>'Historical Data'!C3</f>
        <v>8546.89</v>
      </c>
      <c r="D4" s="2">
        <f>'Historical Data'!D3</f>
        <v>9859.4500000000007</v>
      </c>
    </row>
    <row r="5" spans="1:4">
      <c r="A5" s="9" t="s">
        <v>19</v>
      </c>
      <c r="B5" s="2">
        <f>'Historical Data'!B4</f>
        <v>1337.13</v>
      </c>
      <c r="C5" s="2">
        <f>'Historical Data'!C4</f>
        <v>941.48</v>
      </c>
      <c r="D5" s="2">
        <f>'Historical Data'!D4</f>
        <v>809.35</v>
      </c>
    </row>
    <row r="6" spans="1:4">
      <c r="A6" s="9" t="s">
        <v>20</v>
      </c>
      <c r="B6" s="2">
        <f>'Historical Data'!B5</f>
        <v>-72.53</v>
      </c>
      <c r="C6" s="2">
        <f>'Historical Data'!C5</f>
        <v>3.66</v>
      </c>
      <c r="D6" s="2">
        <f>'Historical Data'!D5</f>
        <v>-64.75</v>
      </c>
    </row>
    <row r="7" spans="1:4">
      <c r="A7" s="9" t="s">
        <v>30</v>
      </c>
      <c r="B7" s="2">
        <f>B4+B5+B6</f>
        <v>9591.3000000000011</v>
      </c>
      <c r="C7" s="2">
        <f t="shared" ref="C7:D7" si="0">C4+C5+C6</f>
        <v>9492.0299999999988</v>
      </c>
      <c r="D7" s="2">
        <f t="shared" si="0"/>
        <v>10604.050000000001</v>
      </c>
    </row>
    <row r="8" spans="1:4">
      <c r="A8" s="9" t="s">
        <v>31</v>
      </c>
      <c r="B8" s="4">
        <f>B7/B2</f>
        <v>0.58840345877899836</v>
      </c>
      <c r="C8" s="4">
        <f t="shared" ref="C8:D8" si="1">C7/C2</f>
        <v>0.56603716202315302</v>
      </c>
      <c r="D8" s="4">
        <f t="shared" si="1"/>
        <v>0.590996211823547</v>
      </c>
    </row>
    <row r="9" spans="1:4">
      <c r="A9" s="9"/>
      <c r="B9" s="2"/>
    </row>
    <row r="10" spans="1:4">
      <c r="A10" s="9" t="s">
        <v>21</v>
      </c>
      <c r="B10" s="2">
        <f>'Historical Data'!B6</f>
        <v>658.38</v>
      </c>
      <c r="C10" s="2">
        <f>'Historical Data'!C6</f>
        <v>708.7</v>
      </c>
      <c r="D10" s="2">
        <f>'Historical Data'!D6</f>
        <v>704.59</v>
      </c>
    </row>
    <row r="11" spans="1:4">
      <c r="A11" s="9" t="s">
        <v>32</v>
      </c>
      <c r="B11" s="4">
        <f>B10/B2</f>
        <v>4.0390048188558056E-2</v>
      </c>
      <c r="C11" s="4">
        <f t="shared" ref="C11:D11" si="2">C10/C2</f>
        <v>4.2261827736091079E-2</v>
      </c>
      <c r="D11" s="4">
        <f t="shared" si="2"/>
        <v>3.9268960528171117E-2</v>
      </c>
    </row>
    <row r="12" spans="1:4">
      <c r="A12" s="9"/>
      <c r="B12" s="2"/>
    </row>
    <row r="13" spans="1:4">
      <c r="A13" s="9" t="s">
        <v>22</v>
      </c>
      <c r="B13" s="2">
        <f>'Historical Data'!B7</f>
        <v>675.05</v>
      </c>
      <c r="C13" s="2">
        <f>'Historical Data'!C7</f>
        <v>694.5</v>
      </c>
      <c r="D13" s="2">
        <f>'Historical Data'!D7</f>
        <v>560.1</v>
      </c>
    </row>
    <row r="14" spans="1:4">
      <c r="A14" s="9" t="s">
        <v>33</v>
      </c>
      <c r="B14" s="4">
        <f>B13/B2</f>
        <v>4.1412713067963965E-2</v>
      </c>
      <c r="C14" s="4">
        <f t="shared" ref="C14:D14" si="3">C13/C2</f>
        <v>4.1415040726280869E-2</v>
      </c>
      <c r="D14" s="4">
        <f t="shared" si="3"/>
        <v>3.1216089913039702E-2</v>
      </c>
    </row>
    <row r="15" spans="1:4">
      <c r="A15" s="9"/>
      <c r="B15" s="2"/>
    </row>
    <row r="16" spans="1:4">
      <c r="A16" s="9" t="s">
        <v>23</v>
      </c>
      <c r="B16" s="2">
        <f>'Historical Data'!B8</f>
        <v>3219.96</v>
      </c>
      <c r="C16" s="2">
        <f>'Historical Data'!C8</f>
        <v>3398.7</v>
      </c>
      <c r="D16" s="2">
        <f>'Historical Data'!D8</f>
        <v>3446.88</v>
      </c>
    </row>
    <row r="17" spans="1:4">
      <c r="A17" s="9" t="s">
        <v>34</v>
      </c>
      <c r="B17" s="4">
        <f>B16/B2</f>
        <v>0.19753689292692578</v>
      </c>
      <c r="C17" s="4">
        <f t="shared" ref="C17:D17" si="4">C16/C2</f>
        <v>0.20267429649591184</v>
      </c>
      <c r="D17" s="4">
        <f t="shared" si="4"/>
        <v>0.19210518835825441</v>
      </c>
    </row>
    <row r="18" spans="1:4">
      <c r="A18" s="9"/>
      <c r="B18" s="2"/>
      <c r="C18" s="2"/>
      <c r="D18" s="2"/>
    </row>
    <row r="19" spans="1:4">
      <c r="A19" s="9" t="s">
        <v>14</v>
      </c>
      <c r="B19" s="2">
        <f>B2-B7-B10-B16</f>
        <v>2830.909999999998</v>
      </c>
      <c r="C19" s="2">
        <f t="shared" ref="C19:D19" si="5">C2-C7-C10-C16</f>
        <v>3169.840000000002</v>
      </c>
      <c r="D19" s="2">
        <f t="shared" si="5"/>
        <v>3187.1499999999969</v>
      </c>
    </row>
    <row r="20" spans="1:4">
      <c r="A20" s="9" t="s">
        <v>35</v>
      </c>
      <c r="B20" s="4">
        <f>B19/B2</f>
        <v>0.1736696001055178</v>
      </c>
      <c r="C20" s="4">
        <f t="shared" ref="C20:D20" si="6">C19/C2</f>
        <v>0.18902671374484412</v>
      </c>
      <c r="D20" s="4">
        <f t="shared" si="6"/>
        <v>0.17762963929002748</v>
      </c>
    </row>
    <row r="21" spans="1:4">
      <c r="A21" s="9"/>
      <c r="B21" s="2"/>
    </row>
    <row r="22" spans="1:4">
      <c r="A22" s="9" t="s">
        <v>25</v>
      </c>
      <c r="B22" s="2">
        <f>'Historical Data'!B10</f>
        <v>225.91</v>
      </c>
      <c r="C22" s="2">
        <f>'Historical Data'!C10</f>
        <v>300.45999999999998</v>
      </c>
      <c r="D22" s="2">
        <f>'Historical Data'!D10</f>
        <v>313.33999999999997</v>
      </c>
    </row>
    <row r="23" spans="1:4">
      <c r="A23" s="9" t="s">
        <v>26</v>
      </c>
      <c r="B23" s="2">
        <f>'Historical Data'!B11</f>
        <v>169.1</v>
      </c>
      <c r="C23" s="2">
        <f>'Historical Data'!C11</f>
        <v>164</v>
      </c>
      <c r="D23" s="2">
        <f>'Historical Data'!D11</f>
        <v>138.80000000000001</v>
      </c>
    </row>
    <row r="24" spans="1:4">
      <c r="A24" s="9" t="s">
        <v>27</v>
      </c>
      <c r="B24" s="2">
        <f>'Historical Data'!B12</f>
        <v>-375.6</v>
      </c>
      <c r="C24" s="2">
        <f>'Historical Data'!C12</f>
        <v>2.9</v>
      </c>
      <c r="D24" s="2">
        <f>'Historical Data'!D12</f>
        <v>24.79</v>
      </c>
    </row>
    <row r="25" spans="1:4">
      <c r="A25" s="9" t="s">
        <v>28</v>
      </c>
      <c r="B25" s="2">
        <f>'Historical Data'!B13</f>
        <v>3032.77</v>
      </c>
      <c r="C25" s="2">
        <f>'Historical Data'!C13</f>
        <v>2913.47</v>
      </c>
      <c r="D25" s="2">
        <f>'Historical Data'!D13</f>
        <v>2926.57</v>
      </c>
    </row>
    <row r="26" spans="1:4">
      <c r="A26" s="9" t="s">
        <v>36</v>
      </c>
      <c r="B26" s="2">
        <f>B25+B24</f>
        <v>2657.17</v>
      </c>
      <c r="C26" s="2">
        <f t="shared" ref="C26:D26" si="7">C25+C24</f>
        <v>2916.37</v>
      </c>
      <c r="D26" s="2">
        <f t="shared" si="7"/>
        <v>2951.36</v>
      </c>
    </row>
    <row r="27" spans="1:4">
      <c r="A27" s="9" t="s">
        <v>29</v>
      </c>
      <c r="B27" s="2">
        <f>'Historical Data'!B14</f>
        <v>2316.3200000000002</v>
      </c>
      <c r="C27" s="2">
        <f>'Historical Data'!C14</f>
        <v>2134.2199999999998</v>
      </c>
      <c r="D27" s="2">
        <f>'Historical Data'!D14</f>
        <v>2177.86</v>
      </c>
    </row>
    <row r="28" spans="1:4">
      <c r="A28" s="9" t="s">
        <v>37</v>
      </c>
      <c r="B28" s="4">
        <f>B27/B2</f>
        <v>0.14210072666259729</v>
      </c>
      <c r="C28" s="4">
        <f t="shared" ref="C28:D28" si="8">C27/C2</f>
        <v>0.12726970225895343</v>
      </c>
      <c r="D28" s="4">
        <f t="shared" si="8"/>
        <v>0.12137881374399687</v>
      </c>
    </row>
    <row r="29" spans="1:4">
      <c r="B29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E7E5F-BD7D-4F2E-B8DB-8228520EA50F}">
  <dimension ref="A1:D23"/>
  <sheetViews>
    <sheetView workbookViewId="0">
      <selection sqref="A1:D1"/>
    </sheetView>
  </sheetViews>
  <sheetFormatPr defaultRowHeight="15"/>
  <cols>
    <col min="1" max="1" width="38.140625" bestFit="1" customWidth="1"/>
    <col min="2" max="2" width="10.28515625" bestFit="1" customWidth="1"/>
  </cols>
  <sheetData>
    <row r="1" spans="1:4" ht="21">
      <c r="A1" s="8" t="s">
        <v>38</v>
      </c>
      <c r="B1" s="8"/>
      <c r="C1" s="12"/>
      <c r="D1" s="12"/>
    </row>
    <row r="3" spans="1:4">
      <c r="A3" t="s">
        <v>39</v>
      </c>
      <c r="B3" t="s">
        <v>6</v>
      </c>
      <c r="C3" t="s">
        <v>7</v>
      </c>
      <c r="D3" t="s">
        <v>8</v>
      </c>
    </row>
    <row r="4" spans="1:4">
      <c r="A4" s="9" t="s">
        <v>40</v>
      </c>
      <c r="B4" s="6">
        <f>'Historical Data'!B2</f>
        <v>16300.55</v>
      </c>
      <c r="C4" s="2">
        <f>'Historical Data'!C2</f>
        <v>16769.27</v>
      </c>
      <c r="D4" s="2">
        <f>'Historical Data'!D2</f>
        <v>17942.669999999998</v>
      </c>
    </row>
    <row r="5" spans="1:4">
      <c r="A5" s="9"/>
      <c r="B5" s="2"/>
      <c r="C5" s="2"/>
    </row>
    <row r="6" spans="1:4">
      <c r="A6" s="9" t="s">
        <v>41</v>
      </c>
      <c r="B6" s="2"/>
      <c r="C6" s="4">
        <f>(C4-B4)/B4</f>
        <v>2.8754857964915368E-2</v>
      </c>
      <c r="D6" s="4">
        <f>(D4-C4)/C4</f>
        <v>6.997323079657003E-2</v>
      </c>
    </row>
    <row r="9" spans="1:4">
      <c r="A9" t="s">
        <v>39</v>
      </c>
      <c r="B9" t="s">
        <v>6</v>
      </c>
      <c r="C9" t="s">
        <v>7</v>
      </c>
      <c r="D9" t="s">
        <v>8</v>
      </c>
    </row>
    <row r="10" spans="1:4">
      <c r="A10" s="9" t="s">
        <v>42</v>
      </c>
      <c r="B10" s="2">
        <f>'Historical Data Calculations'!B19</f>
        <v>2830.909999999998</v>
      </c>
      <c r="C10" s="2">
        <f>'Historical Data Calculations'!C19</f>
        <v>3169.840000000002</v>
      </c>
      <c r="D10" s="2">
        <f>'Historical Data Calculations'!D19</f>
        <v>3187.1499999999969</v>
      </c>
    </row>
    <row r="11" spans="1:4">
      <c r="B11" s="2"/>
    </row>
    <row r="12" spans="1:4">
      <c r="A12" s="9" t="s">
        <v>43</v>
      </c>
      <c r="B12" s="2"/>
      <c r="C12" s="4">
        <f>(C10-B10)/B10</f>
        <v>0.11972475281799992</v>
      </c>
      <c r="D12" s="4">
        <f>(D10-C10)/C10</f>
        <v>5.4608434495100489E-3</v>
      </c>
    </row>
    <row r="13" spans="1:4">
      <c r="B13" s="2"/>
    </row>
    <row r="14" spans="1:4">
      <c r="A14" s="9" t="s">
        <v>35</v>
      </c>
      <c r="B14" s="4">
        <f>'Historical Data Calculations'!B20</f>
        <v>0.1736696001055178</v>
      </c>
      <c r="C14" s="4">
        <f>'Historical Data Calculations'!C20</f>
        <v>0.18902671374484412</v>
      </c>
      <c r="D14" s="4">
        <f>'Historical Data Calculations'!D20</f>
        <v>0.17762963929002748</v>
      </c>
    </row>
    <row r="18" spans="1:4">
      <c r="A18" t="s">
        <v>39</v>
      </c>
      <c r="B18" t="s">
        <v>6</v>
      </c>
      <c r="C18" t="s">
        <v>7</v>
      </c>
      <c r="D18" t="s">
        <v>8</v>
      </c>
    </row>
    <row r="19" spans="1:4">
      <c r="A19" s="9" t="s">
        <v>44</v>
      </c>
      <c r="B19" s="2">
        <f>'Historical Data'!B14</f>
        <v>2316.3200000000002</v>
      </c>
      <c r="C19" s="2">
        <f>'Historical Data'!C14</f>
        <v>2134.2199999999998</v>
      </c>
      <c r="D19" s="2">
        <f>'Historical Data'!D14</f>
        <v>2177.86</v>
      </c>
    </row>
    <row r="20" spans="1:4">
      <c r="B20" s="2"/>
    </row>
    <row r="21" spans="1:4">
      <c r="A21" s="9" t="s">
        <v>45</v>
      </c>
      <c r="B21" s="2"/>
      <c r="C21" s="4">
        <f>(C19-B19)/B19</f>
        <v>-7.8616080679698983E-2</v>
      </c>
      <c r="D21" s="4">
        <f>(D19-C19)/C19</f>
        <v>2.0447751403323149E-2</v>
      </c>
    </row>
    <row r="22" spans="1:4">
      <c r="B22" s="2"/>
    </row>
    <row r="23" spans="1:4">
      <c r="A23" s="9" t="s">
        <v>37</v>
      </c>
      <c r="B23" s="4">
        <f>'Historical Data Calculations'!B28</f>
        <v>0.14210072666259729</v>
      </c>
      <c r="C23" s="4">
        <f>'Historical Data Calculations'!C28</f>
        <v>0.12726970225895343</v>
      </c>
      <c r="D23" s="4">
        <f>'Historical Data Calculations'!D28</f>
        <v>0.12137881374399687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DCEF2-2B27-4E6A-AE9F-9807619598CD}">
  <dimension ref="A1:D20"/>
  <sheetViews>
    <sheetView workbookViewId="0">
      <selection activeCell="F11" sqref="F11"/>
    </sheetView>
  </sheetViews>
  <sheetFormatPr defaultRowHeight="15"/>
  <cols>
    <col min="1" max="1" width="36.5703125" bestFit="1" customWidth="1"/>
    <col min="2" max="2" width="20.5703125" bestFit="1" customWidth="1"/>
    <col min="3" max="3" width="29.42578125" bestFit="1" customWidth="1"/>
    <col min="4" max="4" width="25" bestFit="1" customWidth="1"/>
  </cols>
  <sheetData>
    <row r="1" spans="1:4" ht="21">
      <c r="A1" s="8" t="s">
        <v>46</v>
      </c>
      <c r="B1" s="8"/>
    </row>
    <row r="4" spans="1:4">
      <c r="A4" s="7" t="s">
        <v>47</v>
      </c>
      <c r="B4" s="7" t="s">
        <v>48</v>
      </c>
      <c r="C4" s="7" t="s">
        <v>49</v>
      </c>
      <c r="D4" s="7" t="s">
        <v>50</v>
      </c>
    </row>
    <row r="5" spans="1:4">
      <c r="A5" s="7"/>
      <c r="B5" s="7"/>
      <c r="C5" s="7"/>
      <c r="D5" s="7"/>
    </row>
    <row r="6" spans="1:4">
      <c r="A6" s="9" t="s">
        <v>51</v>
      </c>
      <c r="B6" s="9" t="s">
        <v>52</v>
      </c>
      <c r="C6" s="9" t="s">
        <v>53</v>
      </c>
      <c r="D6" s="9" t="s">
        <v>54</v>
      </c>
    </row>
    <row r="7" spans="1:4">
      <c r="A7" s="9"/>
      <c r="B7" s="9"/>
      <c r="C7" s="9"/>
      <c r="D7" s="9"/>
    </row>
    <row r="8" spans="1:4">
      <c r="A8" s="9" t="s">
        <v>51</v>
      </c>
      <c r="B8" s="9" t="s">
        <v>55</v>
      </c>
      <c r="C8" s="9" t="s">
        <v>56</v>
      </c>
      <c r="D8" s="9" t="s">
        <v>57</v>
      </c>
    </row>
    <row r="9" spans="1:4">
      <c r="A9" s="9"/>
      <c r="B9" s="9"/>
      <c r="C9" s="9"/>
      <c r="D9" s="9"/>
    </row>
    <row r="10" spans="1:4">
      <c r="A10" s="9" t="s">
        <v>58</v>
      </c>
      <c r="B10" s="9" t="s">
        <v>59</v>
      </c>
      <c r="C10" s="9" t="s">
        <v>60</v>
      </c>
      <c r="D10" s="9" t="s">
        <v>61</v>
      </c>
    </row>
    <row r="11" spans="1:4">
      <c r="A11" s="9"/>
      <c r="B11" s="9"/>
      <c r="C11" s="9"/>
      <c r="D11" s="9"/>
    </row>
    <row r="12" spans="1:4">
      <c r="A12" s="9" t="s">
        <v>58</v>
      </c>
      <c r="B12" s="9" t="s">
        <v>62</v>
      </c>
      <c r="C12" s="9" t="s">
        <v>63</v>
      </c>
      <c r="D12" s="9" t="s">
        <v>64</v>
      </c>
    </row>
    <row r="13" spans="1:4">
      <c r="A13" s="9"/>
      <c r="B13" s="9"/>
      <c r="C13" s="9"/>
      <c r="D13" s="9"/>
    </row>
    <row r="14" spans="1:4">
      <c r="A14" s="9" t="s">
        <v>65</v>
      </c>
      <c r="B14" s="9" t="s">
        <v>66</v>
      </c>
      <c r="C14" s="9" t="s">
        <v>67</v>
      </c>
      <c r="D14" s="9" t="s">
        <v>68</v>
      </c>
    </row>
    <row r="15" spans="1:4">
      <c r="A15" s="9"/>
      <c r="B15" s="9"/>
      <c r="C15" s="9"/>
      <c r="D15" s="9"/>
    </row>
    <row r="16" spans="1:4">
      <c r="A16" s="9" t="s">
        <v>69</v>
      </c>
      <c r="B16" s="9" t="s">
        <v>70</v>
      </c>
      <c r="C16" s="9" t="s">
        <v>71</v>
      </c>
      <c r="D16" s="9" t="s">
        <v>72</v>
      </c>
    </row>
    <row r="17" spans="1:4">
      <c r="A17" s="9"/>
      <c r="B17" s="9"/>
      <c r="C17" s="9"/>
      <c r="D17" s="9"/>
    </row>
    <row r="18" spans="1:4">
      <c r="A18" s="9" t="s">
        <v>4</v>
      </c>
      <c r="B18" s="9" t="s">
        <v>73</v>
      </c>
      <c r="C18" s="9" t="s">
        <v>74</v>
      </c>
      <c r="D18" s="9" t="s">
        <v>75</v>
      </c>
    </row>
    <row r="19" spans="1:4">
      <c r="A19" s="9"/>
      <c r="B19" s="9"/>
      <c r="C19" s="9"/>
      <c r="D19" s="9"/>
    </row>
    <row r="20" spans="1:4">
      <c r="A20" s="9" t="s">
        <v>76</v>
      </c>
      <c r="B20" s="9" t="s">
        <v>27</v>
      </c>
      <c r="C20" s="9" t="s">
        <v>77</v>
      </c>
      <c r="D20" s="9" t="s">
        <v>78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EEDF-8BFE-48D4-A2DA-E7E4FA400AF9}">
  <dimension ref="A1:E28"/>
  <sheetViews>
    <sheetView topLeftCell="A20" workbookViewId="0">
      <selection activeCell="E23" sqref="E23"/>
    </sheetView>
  </sheetViews>
  <sheetFormatPr defaultRowHeight="15"/>
  <cols>
    <col min="1" max="1" width="62.5703125" bestFit="1" customWidth="1"/>
    <col min="2" max="2" width="12" customWidth="1"/>
    <col min="3" max="3" width="11.42578125" customWidth="1"/>
    <col min="4" max="4" width="13.140625" customWidth="1"/>
    <col min="5" max="5" width="32.140625" customWidth="1"/>
  </cols>
  <sheetData>
    <row r="1" spans="1:5" ht="21">
      <c r="A1" s="8" t="s">
        <v>79</v>
      </c>
      <c r="B1" s="8"/>
      <c r="C1" s="12"/>
      <c r="D1" s="12"/>
    </row>
    <row r="3" spans="1:5">
      <c r="A3" s="7" t="s">
        <v>80</v>
      </c>
      <c r="B3" s="7" t="s">
        <v>10</v>
      </c>
      <c r="C3" s="7" t="s">
        <v>81</v>
      </c>
      <c r="D3" s="7" t="s">
        <v>82</v>
      </c>
      <c r="E3" s="7" t="s">
        <v>83</v>
      </c>
    </row>
    <row r="4" spans="1:5">
      <c r="A4" s="9" t="s">
        <v>41</v>
      </c>
      <c r="B4" s="11">
        <v>7.0000000000000007E-2</v>
      </c>
      <c r="C4" s="11">
        <v>0.09</v>
      </c>
      <c r="D4" s="11">
        <v>4.4999999999999998E-2</v>
      </c>
      <c r="E4" t="s">
        <v>84</v>
      </c>
    </row>
    <row r="5" spans="1:5">
      <c r="B5" s="4"/>
    </row>
    <row r="6" spans="1:5">
      <c r="B6" s="5"/>
    </row>
    <row r="8" spans="1:5">
      <c r="A8" s="7" t="s">
        <v>80</v>
      </c>
      <c r="B8" s="7" t="s">
        <v>10</v>
      </c>
      <c r="C8" s="7" t="s">
        <v>81</v>
      </c>
      <c r="D8" s="7" t="s">
        <v>82</v>
      </c>
      <c r="E8" s="7" t="s">
        <v>83</v>
      </c>
    </row>
    <row r="9" spans="1:5">
      <c r="A9" s="9" t="s">
        <v>85</v>
      </c>
      <c r="B9" s="11">
        <v>0.59099999999999997</v>
      </c>
      <c r="C9" s="11">
        <v>0.57799999999999996</v>
      </c>
      <c r="D9" s="11">
        <v>0.60799999999999998</v>
      </c>
      <c r="E9" t="s">
        <v>86</v>
      </c>
    </row>
    <row r="10" spans="1:5">
      <c r="A10" s="9" t="s">
        <v>87</v>
      </c>
      <c r="B10" s="11">
        <v>3.7999999999999999E-2</v>
      </c>
      <c r="C10" s="11">
        <v>3.5000000000000003E-2</v>
      </c>
      <c r="D10" s="11">
        <v>4.2000000000000003E-2</v>
      </c>
      <c r="E10" t="s">
        <v>88</v>
      </c>
    </row>
    <row r="11" spans="1:5">
      <c r="A11" s="9" t="s">
        <v>89</v>
      </c>
      <c r="B11" s="11">
        <v>4.4999999999999998E-2</v>
      </c>
      <c r="C11" s="11">
        <v>0.04</v>
      </c>
      <c r="D11" s="11">
        <v>5.5E-2</v>
      </c>
      <c r="E11" t="s">
        <v>90</v>
      </c>
    </row>
    <row r="14" spans="1:5">
      <c r="A14" s="7" t="s">
        <v>80</v>
      </c>
      <c r="B14" s="7" t="s">
        <v>10</v>
      </c>
      <c r="C14" s="7" t="s">
        <v>81</v>
      </c>
      <c r="D14" s="7" t="s">
        <v>82</v>
      </c>
      <c r="E14" s="7" t="s">
        <v>83</v>
      </c>
    </row>
    <row r="15" spans="1:5">
      <c r="A15" s="9" t="s">
        <v>91</v>
      </c>
      <c r="B15" s="11">
        <v>0.19500000000000001</v>
      </c>
      <c r="C15" s="11">
        <v>0.19</v>
      </c>
      <c r="D15" s="11">
        <v>0.2</v>
      </c>
      <c r="E15" t="s">
        <v>92</v>
      </c>
    </row>
    <row r="16" spans="1:5">
      <c r="A16" s="9" t="s">
        <v>93</v>
      </c>
      <c r="B16" s="11">
        <v>0.05</v>
      </c>
      <c r="C16" s="11">
        <v>0.04</v>
      </c>
      <c r="D16" s="11">
        <v>0.06</v>
      </c>
      <c r="E16" t="s">
        <v>94</v>
      </c>
    </row>
    <row r="17" spans="1:5">
      <c r="A17" s="9" t="s">
        <v>95</v>
      </c>
      <c r="B17" s="11">
        <v>0.03</v>
      </c>
      <c r="C17" s="11">
        <v>0.02</v>
      </c>
      <c r="D17" s="11">
        <v>0.05</v>
      </c>
      <c r="E17" t="s">
        <v>96</v>
      </c>
    </row>
    <row r="18" spans="1:5">
      <c r="A18" s="9" t="s">
        <v>97</v>
      </c>
      <c r="B18" s="11">
        <v>0.16</v>
      </c>
      <c r="C18" s="11">
        <v>0.155</v>
      </c>
      <c r="D18" s="11">
        <v>0.16500000000000001</v>
      </c>
    </row>
    <row r="22" spans="1:5">
      <c r="A22" s="7" t="s">
        <v>80</v>
      </c>
      <c r="B22" s="7" t="s">
        <v>98</v>
      </c>
      <c r="C22" s="7" t="s">
        <v>81</v>
      </c>
      <c r="D22" s="7" t="s">
        <v>82</v>
      </c>
    </row>
    <row r="23" spans="1:5">
      <c r="A23" s="7"/>
      <c r="B23" s="7"/>
      <c r="C23" s="7"/>
      <c r="D23" s="7"/>
    </row>
    <row r="24" spans="1:5">
      <c r="A24" s="9" t="s">
        <v>99</v>
      </c>
      <c r="B24" s="11">
        <v>7.0000000000000007E-2</v>
      </c>
      <c r="C24" s="11">
        <v>0.09</v>
      </c>
      <c r="D24" s="11">
        <v>4.4999999999999998E-2</v>
      </c>
    </row>
    <row r="25" spans="1:5">
      <c r="A25" s="9" t="s">
        <v>31</v>
      </c>
      <c r="B25" s="11">
        <v>0.59099999999999997</v>
      </c>
      <c r="C25" s="11">
        <v>0.57799999999999996</v>
      </c>
      <c r="D25" s="11">
        <v>0.60799999999999998</v>
      </c>
    </row>
    <row r="26" spans="1:5">
      <c r="A26" s="9" t="s">
        <v>100</v>
      </c>
      <c r="B26" s="11">
        <v>4.4999999999999998E-2</v>
      </c>
      <c r="C26" s="11">
        <v>0.04</v>
      </c>
      <c r="D26" s="11">
        <v>5.5E-2</v>
      </c>
    </row>
    <row r="27" spans="1:5">
      <c r="A27" s="9" t="s">
        <v>33</v>
      </c>
      <c r="B27" s="11">
        <v>3.7999999999999999E-2</v>
      </c>
      <c r="C27" s="11">
        <v>3.5000000000000003E-2</v>
      </c>
      <c r="D27" s="11">
        <v>4.2000000000000003E-2</v>
      </c>
    </row>
    <row r="28" spans="1:5">
      <c r="A28" s="9" t="s">
        <v>34</v>
      </c>
      <c r="B28" s="11">
        <v>0.16</v>
      </c>
      <c r="C28" s="11">
        <v>0.155</v>
      </c>
      <c r="D28" s="11">
        <v>0.16500000000000001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DABA7-DC5A-4154-B591-2A8A8D219CB0}">
  <dimension ref="A1:G16"/>
  <sheetViews>
    <sheetView tabSelected="1" workbookViewId="0">
      <selection activeCell="G2" sqref="G2"/>
    </sheetView>
  </sheetViews>
  <sheetFormatPr defaultRowHeight="15"/>
  <cols>
    <col min="2" max="2" width="23.5703125" customWidth="1"/>
    <col min="3" max="3" width="12.42578125" customWidth="1"/>
    <col min="6" max="6" width="15.140625" bestFit="1" customWidth="1"/>
    <col min="7" max="7" width="20.42578125" customWidth="1"/>
  </cols>
  <sheetData>
    <row r="1" spans="1:7" ht="21">
      <c r="A1" s="43" t="s">
        <v>101</v>
      </c>
      <c r="B1" s="43"/>
      <c r="C1" s="43"/>
      <c r="D1" s="43"/>
      <c r="E1" s="12"/>
    </row>
    <row r="2" spans="1:7" ht="15.75">
      <c r="F2" s="13" t="s">
        <v>102</v>
      </c>
      <c r="G2" s="44" t="s">
        <v>98</v>
      </c>
    </row>
    <row r="3" spans="1:7">
      <c r="B3" t="s">
        <v>39</v>
      </c>
      <c r="C3" t="s">
        <v>9</v>
      </c>
    </row>
    <row r="4" spans="1:7">
      <c r="B4" s="9" t="s">
        <v>51</v>
      </c>
      <c r="C4" s="32">
        <f xml:space="preserve"> 'Historical Data Calculations'!D2 *
(1 + CHOOSE(
MATCH(G2,{"Base","Upside","Downside"},0),Assumptions!B24,Assumptions!C24,Assumptions!D24
))</f>
        <v>19198.656899999998</v>
      </c>
    </row>
    <row r="6" spans="1:7">
      <c r="B6" s="9" t="s">
        <v>103</v>
      </c>
      <c r="C6" s="32">
        <f xml:space="preserve"> C4 *
CHOOSE(
MATCH(G2,{"Base","Upside","Downside"},0),Assumptions!B25,Assumptions!C25,Assumptions!D25)</f>
        <v>11346.406227899999</v>
      </c>
    </row>
    <row r="8" spans="1:7">
      <c r="B8" s="9" t="s">
        <v>104</v>
      </c>
      <c r="C8" s="32">
        <f>'Historical Data Calculations'!D10 *
(1 + CHOOSE(
MATCH(G2,{"Base","Upside","Downside"},0),Assumptions!B26,Assumptions!C26,Assumptions!D26
))</f>
        <v>736.29655000000002</v>
      </c>
    </row>
    <row r="10" spans="1:7">
      <c r="B10" s="9" t="s">
        <v>69</v>
      </c>
      <c r="C10" s="32">
        <f>C4 *
CHOOSE(
MATCH(G2,{"Base","Upside","Downside"},0),Assumptions!B27,Assumptions!C27,Assumptions!D27
)</f>
        <v>729.54896219999989</v>
      </c>
    </row>
    <row r="12" spans="1:7">
      <c r="B12" s="9" t="s">
        <v>105</v>
      </c>
      <c r="C12" s="32">
        <f xml:space="preserve"> C4 *
CHOOSE(
MATCH(G2,{"Base","Upside","Downside"},0),Assumptions!B28,Assumptions!C28,Assumptions!D28
)</f>
        <v>3071.7851039999996</v>
      </c>
    </row>
    <row r="14" spans="1:7">
      <c r="B14" s="9" t="s">
        <v>14</v>
      </c>
      <c r="C14" s="32">
        <f>C4-C6-C8-C10-C12</f>
        <v>3314.6200558999999</v>
      </c>
    </row>
    <row r="16" spans="1:7">
      <c r="B16" s="9" t="s">
        <v>4</v>
      </c>
      <c r="C16" s="4">
        <f>C14/C4</f>
        <v>0.17264853854958989</v>
      </c>
    </row>
  </sheetData>
  <mergeCells count="1">
    <mergeCell ref="A1:D1"/>
  </mergeCells>
  <dataValidations count="1">
    <dataValidation type="list" allowBlank="1" showInputMessage="1" showErrorMessage="1" sqref="G2" xr:uid="{29B525FA-8162-4C40-865A-9B45825C095D}">
      <formula1>"Base,Upside,Downside"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2026-02-18T17:52:15Z</dcterms:created>
  <dcterms:modified xsi:type="dcterms:W3CDTF">2026-02-21T13:12:47Z</dcterms:modified>
  <cp:category/>
  <cp:contentStatus/>
</cp:coreProperties>
</file>